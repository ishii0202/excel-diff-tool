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63047cf1c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受注一覧" sheetId="1" r:id="Rc374f210538c4f07"/>
    <x:sheet xmlns:r="http://schemas.openxmlformats.org/officeDocument/2006/relationships" name="進行管理" sheetId="2" r:id="Rbd58060a08924466"/>
    <x:sheet xmlns:r="http://schemas.openxmlformats.org/officeDocument/2006/relationships" name="商品マスタ" sheetId="3" r:id="R630e2ebc0fc84230"/>
    <x:sheet xmlns:r="http://schemas.openxmlformats.org/officeDocument/2006/relationships" name="新規企画" sheetId="4" r:id="R25bf2d2f5c89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/mm/dd"/>
    <x:numFmt numFmtId="202" formatCode="0%"/>
  </x:numFmts>
  <x:fonts count="7">
    <x:font>
      <x:sz val="11"/>
      <x:name val="Carlito"/>
    </x:font>
    <x:font>
      <x:sz val="11"/>
      <x:color rgb="FF25364B"/>
      <x:name val="Arial"/>
    </x:font>
    <x:font>
      <x:b/>
      <x:sz val="16"/>
      <x:color rgb="FF203451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  <x:font>
      <x:b/>
      <x:sz val="11"/>
      <x:color rgb="FF203451"/>
      <x:name val="Arial"/>
    </x:font>
    <x:font>
      <x:b/>
      <x:sz val="11"/>
      <x:color rgb="FF25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A"/>
      </x:patternFill>
    </x:fill>
    <x:fill>
      <x:patternFill patternType="solid">
        <x:fgColor rgb="FF203451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3" fillId="0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 applyAlignment="1">
      <x:alignment horizontal="left" vertical="center" wrapText="0"/>
    </x:xf>
    <x:xf numFmtId="0" fontId="4" fillId="3" borderId="2" xfId="0" applyNumberFormat="1" applyFont="1" applyFill="1" applyBorder="1" applyAlignment="1">
      <x:alignment horizontal="left" vertical="center" wrapText="0"/>
    </x:xf>
    <x:xf numFmtId="0" fontId="4" fillId="3" borderId="3" xfId="0" applyNumberFormat="1" applyFont="1" applyFill="1" applyBorder="1" applyAlignment="1">
      <x:alignment horizontal="left" vertical="center" wrapText="0"/>
    </x:xf>
    <x:xf numFmtId="0" fontId="4" fillId="3" borderId="4" xfId="0" applyNumberFormat="1" applyFont="1" applyFill="1" applyBorder="1" applyAlignment="1">
      <x:alignment horizontal="left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0" fontId="4" fillId="3" borderId="4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horizontal="left" vertical="center" wrapText="0"/>
    </x:xf>
    <x:xf numFmtId="200" fontId="5" fillId="0" borderId="0" xfId="0" applyNumberFormat="1" applyFont="1" applyFill="1" applyBorder="1" applyAlignment="1">
      <x:alignment horizontal="left" vertical="center" wrapText="0"/>
    </x:xf>
    <x:xf numFmtId="200" fontId="5" fillId="0" borderId="0" xfId="0" applyNumberFormat="1" applyFont="1" applyFill="1" applyBorder="1" applyAlignment="1">
      <x:alignment horizontal="righ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2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201" fontId="1" fillId="2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0" fontId="6" fillId="2" borderId="0" xfId="0" applyNumberFormat="1" applyFont="1" applyFill="1" applyBorder="1" applyAlignment="1">
      <x:alignment horizontal="right" vertical="center" wrapText="0"/>
    </x:xf>
    <x:xf numFmtId="200" fontId="6" fillId="0" borderId="0" xfId="0" applyNumberFormat="1" applyFont="1" applyFill="1" applyBorder="1" applyAlignment="1">
      <x:alignment horizontal="right" vertical="center" wrapText="0"/>
    </x:xf>
    <x:xf numFmtId="202" fontId="1" fillId="2" borderId="0" xfId="0" applyNumberFormat="1" applyFont="1" applyFill="1" applyBorder="1" applyAlignment="1">
      <x:alignment horizontal="left" vertical="center" wrapText="0"/>
    </x:xf>
    <x:xf numFmtId="202" fontId="1" fillId="0" borderId="0" xfId="0" applyNumberFormat="1" applyFont="1" applyFill="1" applyBorder="1" applyAlignment="1">
      <x:alignment horizontal="left" vertical="center" wrapText="0"/>
    </x:xf>
    <x:xf numFmtId="202" fontId="1" fillId="2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9"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  <x:dxf>
      <x:font>
        <x:b/>
        <x:color rgb="FFA33A32"/>
      </x:font>
      <x:fill>
        <x:patternFill patternType="solid">
          <x:bgColor rgb="FFFCE8E6"/>
        </x:patternFill>
      </x:fill>
    </x:dxf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  <x:dxf>
      <x:font>
        <x:color rgb="FF245B3F"/>
      </x:font>
      <x:fill>
        <x:patternFill patternType="solid">
          <x:bgColor rgb="FFE7F3EB"/>
        </x:patternFill>
      </x:fill>
    </x:dxf>
    <x:dxf>
      <x:font>
        <x:color rgb="FF8A5B13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b5c29635f4d19" /><Relationship Type="http://schemas.openxmlformats.org/officeDocument/2006/relationships/theme" Target="/xl/theme/theme1.xml" Id="R752c5e66657145d1" /><Relationship Type="http://schemas.openxmlformats.org/officeDocument/2006/relationships/sharedStrings" Target="/xl/sharedStrings.xml" Id="Rb3d431ffc7794467" /><Relationship Type="http://schemas.openxmlformats.org/officeDocument/2006/relationships/worksheet" Target="/xl/worksheets/sheet1.xml" Id="Rc374f210538c4f07" /><Relationship Type="http://schemas.openxmlformats.org/officeDocument/2006/relationships/worksheet" Target="/xl/worksheets/sheet2.xml" Id="Rbd58060a08924466" /><Relationship Type="http://schemas.openxmlformats.org/officeDocument/2006/relationships/worksheet" Target="/xl/worksheets/sheet3.xml" Id="R630e2ebc0fc84230" /><Relationship Type="http://schemas.openxmlformats.org/officeDocument/2006/relationships/worksheet" Target="/xl/worksheets/sheet4.xml" Id="R25bf2d2f5c894443" /></Relationships>
</file>

<file path=xl/tables/table1.xml><?xml version="1.0" encoding="utf-8"?>
<x:table xmlns:x="http://schemas.openxmlformats.org/spreadsheetml/2006/main" id="1" name="Orders" displayName="Orders" ref="A7:J27" headerRowCount="1" totalsRowCount="0" totalsRowShown="0">
  <x:autoFilter ref="A7:J27"/>
  <x:tableColumns count="10">
    <x:tableColumn id="1" name="受注番号"/>
    <x:tableColumn id="2" name="受注日"/>
    <x:tableColumn id="3" name="顧客名"/>
    <x:tableColumn id="4" name="商品名"/>
    <x:tableColumn id="5" name="数量"/>
    <x:tableColumn id="6" name="単価（円）"/>
    <x:tableColumn id="7" name="金額（円）"/>
    <x:tableColumn id="8" name="納期"/>
    <x:tableColumn id="9" name="状況"/>
    <x:tableColumn id="10" name="備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Tasks" displayName="Tasks" ref="A7:H17" headerRowCount="1" totalsRowCount="0" totalsRowShown="0">
  <x:autoFilter ref="A7:H17"/>
  <x:tableColumns count="8">
    <x:tableColumn id="1" name="タスクID"/>
    <x:tableColumn id="2" name="企画・業務"/>
    <x:tableColumn id="3" name="作業内容"/>
    <x:tableColumn id="4" name="担当"/>
    <x:tableColumn id="5" name="期限"/>
    <x:tableColumn id="6" name="状態"/>
    <x:tableColumn id="7" name="進捗率"/>
    <x:tableColumn id="8" name="次の対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ducts" displayName="Products" ref="A7:H17" headerRowCount="1" totalsRowCount="0" totalsRowShown="0">
  <x:autoFilter ref="A7:H17"/>
  <x:tableColumns count="8">
    <x:tableColumn id="1" name="商品コード"/>
    <x:tableColumn id="2" name="商品名"/>
    <x:tableColumn id="3" name="分類"/>
    <x:tableColumn id="4" name="標準価格（円）"/>
    <x:tableColumn id="5" name="在庫数"/>
    <x:tableColumn id="6" name="発注点"/>
    <x:tableColumn id="7" name="販売状況"/>
    <x:tableColumn id="8" name="仕様・メモ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ewProjects" displayName="NewProjects" ref="A7:G12" headerRowCount="1" totalsRowCount="0" totalsRowShown="0">
  <x:autoFilter ref="A7:G12"/>
  <x:tableColumns count="7">
    <x:tableColumn id="1" name="企画ID"/>
    <x:tableColumn id="2" name="企画名"/>
    <x:tableColumn id="3" name="担当"/>
    <x:tableColumn id="4" name="検討期限"/>
    <x:tableColumn id="5" name="状態"/>
    <x:tableColumn id="6" name="予算案（円）"/>
    <x:tableColumn id="7" name="次の対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51d219f5c84c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ebc3cf902848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6f3dcfae3d40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ae52614b954942" /></Relationships>
</file>

<file path=xl/worksheets/sheet1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.75" hidden="0" customWidth="1"/>
    <x:col min="2" max="2" width="14" hidden="0" customWidth="1"/>
    <x:col min="3" max="3" width="19.3799991607666" hidden="0" customWidth="1"/>
    <x:col min="4" max="4" width="21.75" hidden="0" customWidth="1"/>
    <x:col min="5" max="5" width="8" hidden="0" customWidth="1"/>
    <x:col min="6" max="6" width="11.5" hidden="0" customWidth="1"/>
    <x:col min="7" max="7" width="13.25" hidden="0" customWidth="1"/>
    <x:col min="8" max="8" width="14" hidden="0" customWidth="1"/>
    <x:col min="9" max="9" width="11.5" hidden="0" customWidth="1"/>
    <x:col min="10" max="10" width="22.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1" customHeight="1">
      <x:c r="A2" s="5" t="str">
        <x:v>2026年9月 受注一覧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5" customHeight="1">
      <x:c r="A5" s="17" t="str">
        <x:v>受注金額（円・税抜）</x:v>
      </x:c>
      <x:c r="B5" s="17"/>
      <x:c r="C5" s="19" t="n">
        <x:f>SUM(G8:G27)</x:f>
        <x:v>584350</x:v>
      </x:c>
      <x:c r="D5" s="17"/>
      <x:c r="E5" s="17" t="str">
        <x:v>件数</x:v>
      </x:c>
      <x:c r="F5" s="19" t="n">
        <x:f>COUNTA(A8:A27)</x:f>
        <x:v>20</x:v>
      </x:c>
      <x:c r="G5" s="4"/>
      <x:c r="H5" s="4"/>
      <x:c r="I5" s="4"/>
      <x:c r="J5" s="4"/>
    </x:row>
    <x:row r="6" ht="25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29" customHeight="1">
      <x:c r="A7" s="14" t="str">
        <x:v>受注番号</x:v>
      </x:c>
      <x:c r="B7" s="15" t="str">
        <x:v>受注日</x:v>
      </x:c>
      <x:c r="C7" s="15" t="str">
        <x:v>顧客名</x:v>
      </x:c>
      <x:c r="D7" s="15" t="str">
        <x:v>商品名</x:v>
      </x:c>
      <x:c r="E7" s="15" t="str">
        <x:v>数量</x:v>
      </x:c>
      <x:c r="F7" s="15" t="str">
        <x:v>単価（円）</x:v>
      </x:c>
      <x:c r="G7" s="15" t="str">
        <x:v>金額（円）</x:v>
      </x:c>
      <x:c r="H7" s="15" t="str">
        <x:v>納期</x:v>
      </x:c>
      <x:c r="I7" s="15" t="str">
        <x:v>状況</x:v>
      </x:c>
      <x:c r="J7" s="16" t="str">
        <x:v>備考</x:v>
      </x:c>
    </x:row>
    <x:row r="8" ht="25" customHeight="1">
      <x:c r="A8" s="8" t="str">
        <x:v>OD-1001</x:v>
      </x:c>
      <x:c r="B8" s="26" t="n">
        <x:v>46266</x:v>
      </x:c>
      <x:c r="C8" s="8" t="str">
        <x:v>青葉商会</x:v>
      </x:c>
      <x:c r="D8" s="8" t="str">
        <x:v>木製デスクトレー</x:v>
      </x:c>
      <x:c r="E8" s="22" t="n">
        <x:v>12</x:v>
      </x:c>
      <x:c r="F8" s="22" t="n">
        <x:v>2800</x:v>
      </x:c>
      <x:c r="G8" s="28" t="n">
        <x:f>E8*F8</x:f>
        <x:v>33600</x:v>
      </x:c>
      <x:c r="H8" s="26" t="n">
        <x:v>46270</x:v>
      </x:c>
      <x:c r="I8" s="8" t="str">
        <x:v>出荷済</x:v>
      </x:c>
      <x:c r="J8" s="8"/>
    </x:row>
    <x:row r="9" ht="25" customHeight="1">
      <x:c r="A9" s="4" t="str">
        <x:v>OD-1002</x:v>
      </x:c>
      <x:c r="B9" s="27" t="n">
        <x:v>46267</x:v>
      </x:c>
      <x:c r="C9" s="4" t="str">
        <x:v>星浜文具店</x:v>
      </x:c>
      <x:c r="D9" s="4" t="str">
        <x:v>リネンノート A5</x:v>
      </x:c>
      <x:c r="E9" s="23" t="n">
        <x:v>20</x:v>
      </x:c>
      <x:c r="F9" s="23" t="n">
        <x:v>1200</x:v>
      </x:c>
      <x:c r="G9" s="29" t="n">
        <x:f>E9*F9</x:f>
        <x:v>24000</x:v>
      </x:c>
      <x:c r="H9" s="27" t="n">
        <x:v>46271</x:v>
      </x:c>
      <x:c r="I9" s="4" t="str">
        <x:v>出荷済</x:v>
      </x:c>
      <x:c r="J9" s="4"/>
    </x:row>
    <x:row r="10" ht="25" customHeight="1">
      <x:c r="A10" s="8" t="str">
        <x:v>OD-1003</x:v>
      </x:c>
      <x:c r="B10" s="26" t="n">
        <x:v>46268</x:v>
      </x:c>
      <x:c r="C10" s="8" t="str">
        <x:v>つばめ企画</x:v>
      </x:c>
      <x:c r="D10" s="8" t="str">
        <x:v>真鍮ペンスタンド</x:v>
      </x:c>
      <x:c r="E10" s="22" t="n">
        <x:v>24</x:v>
      </x:c>
      <x:c r="F10" s="22" t="n">
        <x:v>3600</x:v>
      </x:c>
      <x:c r="G10" s="28" t="n">
        <x:f>E10*F10</x:f>
        <x:v>86400</x:v>
      </x:c>
      <x:c r="H10" s="26" t="n">
        <x:v>46272</x:v>
      </x:c>
      <x:c r="I10" s="8" t="str">
        <x:v>準備中</x:v>
      </x:c>
      <x:c r="J10" s="8"/>
    </x:row>
    <x:row r="11" ht="25" customHeight="1">
      <x:c r="A11" s="4" t="str">
        <x:v>OD-1004</x:v>
      </x:c>
      <x:c r="B11" s="27" t="n">
        <x:v>46269</x:v>
      </x:c>
      <x:c r="C11" s="4" t="str">
        <x:v>月見カフェ</x:v>
      </x:c>
      <x:c r="D11" s="4" t="str">
        <x:v>帆布トート S</x:v>
      </x:c>
      <x:c r="E11" s="23" t="n">
        <x:v>15</x:v>
      </x:c>
      <x:c r="F11" s="23" t="n">
        <x:v>2400</x:v>
      </x:c>
      <x:c r="G11" s="29" t="n">
        <x:f>E11*F11</x:f>
        <x:v>36000</x:v>
      </x:c>
      <x:c r="H11" s="27" t="n">
        <x:v>46273</x:v>
      </x:c>
      <x:c r="I11" s="4" t="str">
        <x:v>出荷済</x:v>
      </x:c>
      <x:c r="J11" s="4"/>
    </x:row>
    <x:row r="12" ht="25" customHeight="1">
      <x:c r="A12" s="8" t="str">
        <x:v>OD-1005</x:v>
      </x:c>
      <x:c r="B12" s="26" t="n">
        <x:v>46270</x:v>
      </x:c>
      <x:c r="C12" s="8" t="str">
        <x:v>森のアトリエ</x:v>
      </x:c>
      <x:c r="D12" s="8" t="str">
        <x:v>再生紙メモパッド</x:v>
      </x:c>
      <x:c r="E12" s="22" t="n">
        <x:v>40</x:v>
      </x:c>
      <x:c r="F12" s="22" t="n">
        <x:v>650</x:v>
      </x:c>
      <x:c r="G12" s="28" t="n">
        <x:f>E12*F12</x:f>
        <x:v>26000</x:v>
      </x:c>
      <x:c r="H12" s="26" t="n">
        <x:v>46274</x:v>
      </x:c>
      <x:c r="I12" s="8" t="str">
        <x:v>準備中</x:v>
      </x:c>
      <x:c r="J12" s="8" t="str">
        <x:v>簡易包装</x:v>
      </x:c>
    </x:row>
    <x:row r="13" ht="25" customHeight="1">
      <x:c r="A13" s="4" t="str">
        <x:v>OD-1006</x:v>
      </x:c>
      <x:c r="B13" s="27" t="n">
        <x:v>46271</x:v>
      </x:c>
      <x:c r="C13" s="4" t="str">
        <x:v>みなと雑貨店</x:v>
      </x:c>
      <x:c r="D13" s="4" t="str">
        <x:v>陶器マグ 280ml</x:v>
      </x:c>
      <x:c r="E13" s="23" t="n">
        <x:v>16</x:v>
      </x:c>
      <x:c r="F13" s="23" t="n">
        <x:v>1800</x:v>
      </x:c>
      <x:c r="G13" s="29" t="n">
        <x:f>ROUND(E13*F13,0)</x:f>
        <x:v>28800</x:v>
      </x:c>
      <x:c r="H13" s="27" t="n">
        <x:v>46275</x:v>
      </x:c>
      <x:c r="I13" s="4" t="str">
        <x:v>準備中</x:v>
      </x:c>
      <x:c r="J13" s="4"/>
    </x:row>
    <x:row r="14" ht="25" customHeight="1">
      <x:c r="A14" s="8" t="str">
        <x:v>OD-1007</x:v>
      </x:c>
      <x:c r="B14" s="26" t="n">
        <x:v>46272</x:v>
      </x:c>
      <x:c r="C14" s="8" t="str">
        <x:v>灯台デザイン</x:v>
      </x:c>
      <x:c r="D14" s="8" t="str">
        <x:v>竹製コースター</x:v>
      </x:c>
      <x:c r="E14" s="22" t="n">
        <x:v>24</x:v>
      </x:c>
      <x:c r="F14" s="22" t="n">
        <x:v>900</x:v>
      </x:c>
      <x:c r="G14" s="28" t="n">
        <x:f>E14*F14</x:f>
        <x:v>21600</x:v>
      </x:c>
      <x:c r="H14" s="26" t="n">
        <x:v>46280</x:v>
      </x:c>
      <x:c r="I14" s="8" t="str">
        <x:v>受注</x:v>
      </x:c>
      <x:c r="J14" s="8"/>
    </x:row>
    <x:row r="15" ht="25" customHeight="1">
      <x:c r="A15" s="4" t="str">
        <x:v>OD-1008</x:v>
      </x:c>
      <x:c r="B15" s="27" t="n">
        <x:v>46273</x:v>
      </x:c>
      <x:c r="C15" s="4" t="str">
        <x:v>小春書房</x:v>
      </x:c>
      <x:c r="D15" s="4" t="str">
        <x:v>コルクボード A4</x:v>
      </x:c>
      <x:c r="E15" s="23" t="n">
        <x:v>8</x:v>
      </x:c>
      <x:c r="F15" s="23" t="n">
        <x:v>2200</x:v>
      </x:c>
      <x:c r="G15" s="29" t="n">
        <x:f>E15*F15</x:f>
        <x:v>17600</x:v>
      </x:c>
      <x:c r="H15" s="27" t="n">
        <x:v>46277</x:v>
      </x:c>
      <x:c r="I15" s="4" t="str">
        <x:v>出荷済</x:v>
      </x:c>
      <x:c r="J15" s="4"/>
    </x:row>
    <x:row r="16" ht="25" customHeight="1">
      <x:c r="A16" s="8" t="str">
        <x:v>OD-1009</x:v>
      </x:c>
      <x:c r="B16" s="26" t="n">
        <x:v>46274</x:v>
      </x:c>
      <x:c r="C16" s="8" t="str">
        <x:v>空色ラボ</x:v>
      </x:c>
      <x:c r="D16" s="8" t="str">
        <x:v>ガラス花器 ミニ</x:v>
      </x:c>
      <x:c r="E16" s="22" t="n">
        <x:v>10</x:v>
      </x:c>
      <x:c r="F16" s="22" t="n">
        <x:v>1500</x:v>
      </x:c>
      <x:c r="G16" s="28" t="n">
        <x:f>E16*F16</x:f>
        <x:v>15000</x:v>
      </x:c>
      <x:c r="H16" s="26" t="n">
        <x:v>46278</x:v>
      </x:c>
      <x:c r="I16" s="8" t="str">
        <x:v>受注</x:v>
      </x:c>
      <x:c r="J16" s="8"/>
    </x:row>
    <x:row r="17" ht="25" customHeight="1">
      <x:c r="A17" s="4" t="str">
        <x:v>OD-1010</x:v>
      </x:c>
      <x:c r="B17" s="27" t="n">
        <x:v>46275</x:v>
      </x:c>
      <x:c r="C17" s="4" t="str">
        <x:v>こもれび商店</x:v>
      </x:c>
      <x:c r="D17" s="4" t="str">
        <x:v>月間プランナー</x:v>
      </x:c>
      <x:c r="E17" s="23" t="n">
        <x:v>30</x:v>
      </x:c>
      <x:c r="F17" s="23" t="n">
        <x:v>1100</x:v>
      </x:c>
      <x:c r="G17" s="29" t="n">
        <x:f>E17*F17</x:f>
        <x:v>33000</x:v>
      </x:c>
      <x:c r="H17" s="27" t="n">
        <x:v>46279</x:v>
      </x:c>
      <x:c r="I17" s="4" t="str">
        <x:v>出荷済</x:v>
      </x:c>
      <x:c r="J17" s="4"/>
    </x:row>
    <x:row r="18" ht="25" customHeight="1">
      <x:c r="A18" s="8" t="str">
        <x:v>OD-1011</x:v>
      </x:c>
      <x:c r="B18" s="26" t="n">
        <x:v>46276</x:v>
      </x:c>
      <x:c r="C18" s="8" t="str">
        <x:v>青葉商会</x:v>
      </x:c>
      <x:c r="D18" s="8" t="str">
        <x:v>木製デスクトレー</x:v>
      </x:c>
      <x:c r="E18" s="22" t="n">
        <x:v>6</x:v>
      </x:c>
      <x:c r="F18" s="22" t="n">
        <x:v>2800</x:v>
      </x:c>
      <x:c r="G18" s="28" t="n">
        <x:f>E18*F18</x:f>
        <x:v>16800</x:v>
      </x:c>
      <x:c r="H18" s="26" t="n">
        <x:v>46280</x:v>
      </x:c>
      <x:c r="I18" s="8" t="str">
        <x:v>受注</x:v>
      </x:c>
      <x:c r="J18" s="8" t="str">
        <x:v>店頭受取</x:v>
      </x:c>
    </x:row>
    <x:row r="19" ht="25" customHeight="1">
      <x:c r="A19" s="4" t="str">
        <x:v>OD-1012</x:v>
      </x:c>
      <x:c r="B19" s="27" t="n">
        <x:v>46277</x:v>
      </x:c>
      <x:c r="C19" s="4" t="str">
        <x:v>星浜文具店</x:v>
      </x:c>
      <x:c r="D19" s="4" t="str">
        <x:v>リネンノート A5</x:v>
      </x:c>
      <x:c r="E19" s="23" t="n">
        <x:v>18</x:v>
      </x:c>
      <x:c r="F19" s="23" t="n">
        <x:v>1200</x:v>
      </x:c>
      <x:c r="G19" s="29" t="n">
        <x:f>E19*F19</x:f>
        <x:v>21600</x:v>
      </x:c>
      <x:c r="H19" s="27" t="n">
        <x:v>46281</x:v>
      </x:c>
      <x:c r="I19" s="4" t="str">
        <x:v>受注</x:v>
      </x:c>
      <x:c r="J19" s="4"/>
    </x:row>
    <x:row r="20" ht="25" customHeight="1">
      <x:c r="A20" s="8" t="str">
        <x:v>OD-1013</x:v>
      </x:c>
      <x:c r="B20" s="26" t="n">
        <x:v>46278</x:v>
      </x:c>
      <x:c r="C20" s="8" t="str">
        <x:v>つばめ企画</x:v>
      </x:c>
      <x:c r="D20" s="8" t="str">
        <x:v>真鍮ペンスタンド</x:v>
      </x:c>
      <x:c r="E20" s="22" t="n">
        <x:v>20</x:v>
      </x:c>
      <x:c r="F20" s="22" t="n">
        <x:v>3600</x:v>
      </x:c>
      <x:c r="G20" s="28" t="n">
        <x:f>E20*F20</x:f>
        <x:v>72000</x:v>
      </x:c>
      <x:c r="H20" s="26" t="n">
        <x:v>46282</x:v>
      </x:c>
      <x:c r="I20" s="8" t="str">
        <x:v>準備中</x:v>
      </x:c>
      <x:c r="J20" s="8"/>
    </x:row>
    <x:row r="21" ht="25" customHeight="1">
      <x:c r="A21" s="4" t="str">
        <x:v>OD-1014</x:v>
      </x:c>
      <x:c r="B21" s="27" t="n">
        <x:v>46279</x:v>
      </x:c>
      <x:c r="C21" s="4" t="str">
        <x:v>月見カフェ</x:v>
      </x:c>
      <x:c r="D21" s="4" t="str">
        <x:v>帆布トート S</x:v>
      </x:c>
      <x:c r="E21" s="23" t="n">
        <x:v>12</x:v>
      </x:c>
      <x:c r="F21" s="23" t="n">
        <x:v>2400</x:v>
      </x:c>
      <x:c r="G21" s="29" t="n">
        <x:f>E21*F21</x:f>
        <x:v>28800</x:v>
      </x:c>
      <x:c r="H21" s="27" t="n">
        <x:v>46283</x:v>
      </x:c>
      <x:c r="I21" s="4" t="str">
        <x:v>受注</x:v>
      </x:c>
      <x:c r="J21" s="4" t="str">
        <x:v>午前便を希望</x:v>
      </x:c>
    </x:row>
    <x:row r="22" ht="25" customHeight="1">
      <x:c r="A22" s="8" t="str">
        <x:v>OD-1015</x:v>
      </x:c>
      <x:c r="B22" s="26" t="n">
        <x:v>46280</x:v>
      </x:c>
      <x:c r="C22" s="8" t="str">
        <x:v>森のアトリエ</x:v>
      </x:c>
      <x:c r="D22" s="8" t="str">
        <x:v>再生紙メモパッド</x:v>
      </x:c>
      <x:c r="E22" s="22" t="n">
        <x:v>25</x:v>
      </x:c>
      <x:c r="F22" s="22" t="n">
        <x:v>650</x:v>
      </x:c>
      <x:c r="G22" s="28" t="n">
        <x:f>E22*F22</x:f>
        <x:v>16250</x:v>
      </x:c>
      <x:c r="H22" s="26" t="n">
        <x:v>46284</x:v>
      </x:c>
      <x:c r="I22" s="8" t="str">
        <x:v>受注</x:v>
      </x:c>
      <x:c r="J22" s="8"/>
    </x:row>
    <x:row r="23" ht="25" customHeight="1">
      <x:c r="A23" s="4" t="str">
        <x:v>OD-1016</x:v>
      </x:c>
      <x:c r="B23" s="27" t="n">
        <x:v>46281</x:v>
      </x:c>
      <x:c r="C23" s="4" t="str">
        <x:v>みなと雑貨店</x:v>
      </x:c>
      <x:c r="D23" s="4" t="str">
        <x:v>陶器マグ 280ml</x:v>
      </x:c>
      <x:c r="E23" s="23" t="n">
        <x:v>14</x:v>
      </x:c>
      <x:c r="F23" s="23" t="n">
        <x:v>1800</x:v>
      </x:c>
      <x:c r="G23" s="29" t="n">
        <x:f>E23*F23</x:f>
        <x:v>25200</x:v>
      </x:c>
      <x:c r="H23" s="27" t="n">
        <x:v>46285</x:v>
      </x:c>
      <x:c r="I23" s="4" t="str">
        <x:v>受注</x:v>
      </x:c>
      <x:c r="J23" s="4"/>
    </x:row>
    <x:row r="24" ht="25" customHeight="1">
      <x:c r="A24" s="8" t="str">
        <x:v>OD-1017</x:v>
      </x:c>
      <x:c r="B24" s="26" t="n">
        <x:v>46282</x:v>
      </x:c>
      <x:c r="C24" s="8" t="str">
        <x:v>灯台デザイン</x:v>
      </x:c>
      <x:c r="D24" s="8" t="str">
        <x:v>竹製コースター</x:v>
      </x:c>
      <x:c r="E24" s="22" t="n">
        <x:v>9</x:v>
      </x:c>
      <x:c r="F24" s="22" t="n">
        <x:v>900</x:v>
      </x:c>
      <x:c r="G24" s="28" t="n">
        <x:f>E24*F24</x:f>
        <x:v>8100</x:v>
      </x:c>
      <x:c r="H24" s="26" t="n">
        <x:v>46286</x:v>
      </x:c>
      <x:c r="I24" s="8" t="str">
        <x:v>準備中</x:v>
      </x:c>
      <x:c r="J24" s="8"/>
    </x:row>
    <x:row r="25" ht="25" customHeight="1">
      <x:c r="A25" s="4" t="str">
        <x:v>OD-1018</x:v>
      </x:c>
      <x:c r="B25" s="27" t="n">
        <x:v>46283</x:v>
      </x:c>
      <x:c r="C25" s="4" t="str">
        <x:v>小春書房</x:v>
      </x:c>
      <x:c r="D25" s="4" t="str">
        <x:v>コルクボード A4</x:v>
      </x:c>
      <x:c r="E25" s="23" t="n">
        <x:v>16</x:v>
      </x:c>
      <x:c r="F25" s="23" t="n">
        <x:v>2200</x:v>
      </x:c>
      <x:c r="G25" s="29" t="n">
        <x:f>E25*F25</x:f>
        <x:v>35200</x:v>
      </x:c>
      <x:c r="H25" s="27" t="n">
        <x:v>46287</x:v>
      </x:c>
      <x:c r="I25" s="4" t="str">
        <x:v>受注</x:v>
      </x:c>
      <x:c r="J25" s="4"/>
    </x:row>
    <x:row r="26" ht="25" customHeight="1">
      <x:c r="A26" s="8" t="str">
        <x:v>OD-1019</x:v>
      </x:c>
      <x:c r="B26" s="26" t="n">
        <x:v>46284</x:v>
      </x:c>
      <x:c r="C26" s="8" t="str">
        <x:v>空色ラボ</x:v>
      </x:c>
      <x:c r="D26" s="8" t="str">
        <x:v>ガラス花器 ミニ</x:v>
      </x:c>
      <x:c r="E26" s="22" t="n">
        <x:v>8</x:v>
      </x:c>
      <x:c r="F26" s="22" t="n">
        <x:v>1500</x:v>
      </x:c>
      <x:c r="G26" s="28" t="n">
        <x:f>E26*F26</x:f>
        <x:v>12000</x:v>
      </x:c>
      <x:c r="H26" s="26" t="n">
        <x:v>46288</x:v>
      </x:c>
      <x:c r="I26" s="8" t="str">
        <x:v>受注</x:v>
      </x:c>
      <x:c r="J26" s="8"/>
    </x:row>
    <x:row r="27" ht="25" customHeight="1">
      <x:c r="A27" s="4" t="str">
        <x:v>OD-1020</x:v>
      </x:c>
      <x:c r="B27" s="27" t="n">
        <x:v>46285</x:v>
      </x:c>
      <x:c r="C27" s="4" t="str">
        <x:v>こもれび商店</x:v>
      </x:c>
      <x:c r="D27" s="4" t="str">
        <x:v>月間プランナー</x:v>
      </x:c>
      <x:c r="E27" s="23" t="n">
        <x:v>24</x:v>
      </x:c>
      <x:c r="F27" s="23" t="n">
        <x:v>1100</x:v>
      </x:c>
      <x:c r="G27" s="29" t="n">
        <x:f>E27*F27</x:f>
        <x:v>26400</x:v>
      </x:c>
      <x:c r="H27" s="27" t="n">
        <x:v>46289</x:v>
      </x:c>
      <x:c r="I27" s="4" t="str">
        <x:v>受注</x:v>
      </x:c>
      <x:c r="J27" s="4"/>
    </x:row>
  </x:sheetData>
  <x:conditionalFormatting sqref="I8:I27">
    <x:cfRule type="cellIs" dxfId="0" priority="1" operator="equal">
      <x:formula>"出荷済"</x:formula>
    </x:cfRule>
    <x:cfRule type="cellIs" dxfId="1" priority="2" operator="equal">
      <x:formula>"準備中"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51d219f5c84c1f"/>
  </x:tableParts>
</x:worksheet>
</file>

<file path=xl/worksheets/sheet2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7.5" hidden="0" customWidth="1"/>
    <x:col min="3" max="3" width="28.75" hidden="0" customWidth="1"/>
    <x:col min="4" max="4" width="10.5" hidden="0" customWidth="1"/>
    <x:col min="5" max="5" width="14" hidden="0" customWidth="1"/>
    <x:col min="6" max="6" width="12" hidden="0" customWidth="1"/>
    <x:col min="7" max="7" width="10.5" hidden="0" customWidth="1"/>
    <x:col min="8" max="8" width="26.2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  <x:c r="H1" s="4"/>
    </x:row>
    <x:row r="2" ht="31" customHeight="1">
      <x:c r="A2" s="5" t="str">
        <x:v>2026年9月 進行管理</x:v>
      </x:c>
      <x:c r="B2" s="4"/>
      <x:c r="C2" s="4"/>
      <x:c r="D2" s="4"/>
      <x:c r="E2" s="4"/>
      <x:c r="F2" s="4"/>
      <x:c r="G2" s="4"/>
      <x:c r="H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  <x:c r="H3" s="7"/>
    </x:row>
    <x:row r="4" ht="25" customHeight="1">
      <x:c r="A4" s="4"/>
      <x:c r="B4" s="4"/>
      <x:c r="C4" s="4"/>
      <x:c r="D4" s="4"/>
      <x:c r="E4" s="4"/>
      <x:c r="F4" s="4"/>
      <x:c r="G4" s="4"/>
      <x:c r="H4" s="4"/>
    </x:row>
    <x:row r="5" ht="25" customHeight="1">
      <x:c r="A5" s="4" t="str">
        <x:v>各担当が状態・進捗率・次の対応を更新。</x:v>
      </x:c>
      <x:c r="B5" s="4"/>
      <x:c r="C5" s="4"/>
      <x:c r="D5" s="4"/>
      <x:c r="E5" s="4"/>
      <x:c r="F5" s="4"/>
      <x:c r="G5" s="4"/>
      <x:c r="H5" s="4"/>
    </x:row>
    <x:row r="6" ht="25" customHeight="1">
      <x:c r="A6" s="4"/>
      <x:c r="B6" s="4"/>
      <x:c r="C6" s="4"/>
      <x:c r="D6" s="4"/>
      <x:c r="E6" s="4"/>
      <x:c r="F6" s="4"/>
      <x:c r="G6" s="4"/>
      <x:c r="H6" s="4"/>
    </x:row>
    <x:row r="7" ht="29" customHeight="1">
      <x:c r="A7" s="14" t="str">
        <x:v>タスクID</x:v>
      </x:c>
      <x:c r="B7" s="15" t="str">
        <x:v>企画・業務</x:v>
      </x:c>
      <x:c r="C7" s="15" t="str">
        <x:v>作業内容</x:v>
      </x:c>
      <x:c r="D7" s="15" t="str">
        <x:v>担当</x:v>
      </x:c>
      <x:c r="E7" s="15" t="str">
        <x:v>期限</x:v>
      </x:c>
      <x:c r="F7" s="15" t="str">
        <x:v>状態</x:v>
      </x:c>
      <x:c r="G7" s="15" t="str">
        <x:v>進捗率</x:v>
      </x:c>
      <x:c r="H7" s="16" t="str">
        <x:v>次の対応</x:v>
      </x:c>
    </x:row>
    <x:row r="8" ht="25" customHeight="1">
      <x:c r="A8" s="8" t="str">
        <x:v>TK-001</x:v>
      </x:c>
      <x:c r="B8" s="8" t="str">
        <x:v>秋の展示会</x:v>
      </x:c>
      <x:c r="C8" s="8" t="str">
        <x:v>什器レイアウト確定</x:v>
      </x:c>
      <x:c r="D8" s="8" t="str">
        <x:v>青木</x:v>
      </x:c>
      <x:c r="E8" s="26" t="n">
        <x:v>46269</x:v>
      </x:c>
      <x:c r="F8" s="8" t="str">
        <x:v>完了</x:v>
      </x:c>
      <x:c r="G8" s="32" t="n">
        <x:v>1</x:v>
      </x:c>
      <x:c r="H8" s="8" t="str">
        <x:v>搬入図を保存</x:v>
      </x:c>
    </x:row>
    <x:row r="9" ht="25" customHeight="1">
      <x:c r="A9" s="4" t="str">
        <x:v>TK-002</x:v>
      </x:c>
      <x:c r="B9" s="4" t="str">
        <x:v>秋の展示会</x:v>
      </x:c>
      <x:c r="C9" s="4" t="str">
        <x:v>商品POPの校正</x:v>
      </x:c>
      <x:c r="D9" s="4" t="str">
        <x:v>大野</x:v>
      </x:c>
      <x:c r="E9" s="27" t="n">
        <x:v>46273</x:v>
      </x:c>
      <x:c r="F9" s="4" t="str">
        <x:v>完了</x:v>
      </x:c>
      <x:c r="G9" s="33" t="n">
        <x:v>1</x:v>
      </x:c>
      <x:c r="H9" s="4" t="str">
        <x:v>価格表と照合</x:v>
      </x:c>
    </x:row>
    <x:row r="10" ht="25" customHeight="1">
      <x:c r="A10" s="8" t="str">
        <x:v>TK-003</x:v>
      </x:c>
      <x:c r="B10" s="8" t="str">
        <x:v>商品改善</x:v>
      </x:c>
      <x:c r="C10" s="8" t="str">
        <x:v>トート持ち手の試作</x:v>
      </x:c>
      <x:c r="D10" s="8" t="str">
        <x:v>佐野</x:v>
      </x:c>
      <x:c r="E10" s="26" t="n">
        <x:v>46275</x:v>
      </x:c>
      <x:c r="F10" s="8" t="str">
        <x:v>進行中</x:v>
      </x:c>
      <x:c r="G10" s="32" t="n">
        <x:v>0.6</x:v>
      </x:c>
      <x:c r="H10" s="8" t="str">
        <x:v>強度を確認</x:v>
      </x:c>
    </x:row>
    <x:row r="11" ht="25" customHeight="1">
      <x:c r="A11" s="4" t="str">
        <x:v>TK-011</x:v>
      </x:c>
      <x:c r="B11" s="4" t="str">
        <x:v>秋の展示会</x:v>
      </x:c>
      <x:c r="C11" s="4" t="str">
        <x:v>招待メールの原稿</x:v>
      </x:c>
      <x:c r="D11" s="4" t="str">
        <x:v>井上</x:v>
      </x:c>
      <x:c r="E11" s="27" t="n">
        <x:v>46276</x:v>
      </x:c>
      <x:c r="F11" s="4" t="str">
        <x:v>進行中</x:v>
      </x:c>
      <x:c r="G11" s="33" t="n">
        <x:v>0.3</x:v>
      </x:c>
      <x:c r="H11" s="4" t="str">
        <x:v>写真を追加</x:v>
      </x:c>
    </x:row>
    <x:row r="12" ht="25" customHeight="1">
      <x:c r="A12" s="8" t="str">
        <x:v>TK-004</x:v>
      </x:c>
      <x:c r="B12" s="8" t="str">
        <x:v>受注運用</x:v>
      </x:c>
      <x:c r="C12" s="8" t="str">
        <x:v>発送ラベルの統一</x:v>
      </x:c>
      <x:c r="D12" s="8" t="str">
        <x:v>井上</x:v>
      </x:c>
      <x:c r="E12" s="26" t="n">
        <x:v>46277</x:v>
      </x:c>
      <x:c r="F12" s="8" t="str">
        <x:v>未着手</x:v>
      </x:c>
      <x:c r="G12" s="32" t="n">
        <x:v>0</x:v>
      </x:c>
      <x:c r="H12" s="8" t="str">
        <x:v>運用案を作成</x:v>
      </x:c>
    </x:row>
    <x:row r="13" ht="25" customHeight="1">
      <x:c r="A13" s="4" t="str">
        <x:v>TK-006</x:v>
      </x:c>
      <x:c r="B13" s="4" t="str">
        <x:v>在庫管理</x:v>
      </x:c>
      <x:c r="C13" s="4" t="str">
        <x:v>棚卸チェック表の改訂</x:v>
      </x:c>
      <x:c r="D13" s="4" t="str">
        <x:v>大野</x:v>
      </x:c>
      <x:c r="E13" s="27" t="n">
        <x:v>46283</x:v>
      </x:c>
      <x:c r="F13" s="4" t="str">
        <x:v>進行中</x:v>
      </x:c>
      <x:c r="G13" s="33" t="n">
        <x:v>0.5</x:v>
      </x:c>
      <x:c r="H13" s="4" t="str">
        <x:v>倉庫担当と調整</x:v>
      </x:c>
    </x:row>
    <x:row r="14" ht="25" customHeight="1">
      <x:c r="A14" s="8" t="str">
        <x:v>TK-007</x:v>
      </x:c>
      <x:c r="B14" s="8" t="str">
        <x:v>秋の展示会</x:v>
      </x:c>
      <x:c r="C14" s="8" t="str">
        <x:v>試供品セットの準備</x:v>
      </x:c>
      <x:c r="D14" s="8" t="str">
        <x:v>佐野</x:v>
      </x:c>
      <x:c r="E14" s="26" t="n">
        <x:v>46285</x:v>
      </x:c>
      <x:c r="F14" s="8" t="str">
        <x:v>未着手</x:v>
      </x:c>
      <x:c r="G14" s="32" t="n">
        <x:v>0</x:v>
      </x:c>
      <x:c r="H14" s="8" t="str">
        <x:v>サンプル箱を手配</x:v>
      </x:c>
    </x:row>
    <x:row r="15" ht="25" customHeight="1">
      <x:c r="A15" s="4" t="str">
        <x:v>TK-008</x:v>
      </x:c>
      <x:c r="B15" s="4" t="str">
        <x:v>商品改善</x:v>
      </x:c>
      <x:c r="C15" s="4" t="str">
        <x:v>マグの梱包テスト</x:v>
      </x:c>
      <x:c r="D15" s="4" t="str">
        <x:v>井上</x:v>
      </x:c>
      <x:c r="E15" s="27" t="n">
        <x:v>46287</x:v>
      </x:c>
      <x:c r="F15" s="4" t="str">
        <x:v>進行中</x:v>
      </x:c>
      <x:c r="G15" s="33" t="n">
        <x:v>0.4</x:v>
      </x:c>
      <x:c r="H15" s="4" t="str">
        <x:v>落下試験を実施</x:v>
      </x:c>
    </x:row>
    <x:row r="16" ht="25" customHeight="1">
      <x:c r="A16" s="8" t="str">
        <x:v>TK-009</x:v>
      </x:c>
      <x:c r="B16" s="8" t="str">
        <x:v>受注運用</x:v>
      </x:c>
      <x:c r="C16" s="8" t="str">
        <x:v>納期案内テンプレート</x:v>
      </x:c>
      <x:c r="D16" s="8" t="str">
        <x:v>青木</x:v>
      </x:c>
      <x:c r="E16" s="26" t="n">
        <x:v>46290</x:v>
      </x:c>
      <x:c r="F16" s="8" t="str">
        <x:v>未着手</x:v>
      </x:c>
      <x:c r="G16" s="32" t="n">
        <x:v>0</x:v>
      </x:c>
      <x:c r="H16" s="8" t="str">
        <x:v>法人向け</x:v>
      </x:c>
    </x:row>
    <x:row r="17" ht="25" customHeight="1">
      <x:c r="A17" s="4" t="str">
        <x:v>TK-010</x:v>
      </x:c>
      <x:c r="B17" s="4" t="str">
        <x:v>在庫管理</x:v>
      </x:c>
      <x:c r="C17" s="4" t="str">
        <x:v>発注点の見直し</x:v>
      </x:c>
      <x:c r="D17" s="4" t="str">
        <x:v>大野</x:v>
      </x:c>
      <x:c r="E17" s="27" t="n">
        <x:v>46293</x:v>
      </x:c>
      <x:c r="F17" s="4" t="str">
        <x:v>未着手</x:v>
      </x:c>
      <x:c r="G17" s="33" t="n">
        <x:v>0</x:v>
      </x:c>
      <x:c r="H17" s="4" t="str">
        <x:v>販売実績を集計</x:v>
      </x:c>
    </x:row>
  </x:sheetData>
  <x:conditionalFormatting sqref="F8:F17">
    <x:cfRule type="cellIs" dxfId="5" priority="1" operator="equal">
      <x:formula>"完了"</x:formula>
    </x:cfRule>
    <x:cfRule type="cellIs" dxfId="6" priority="2" operator="equal">
      <x:formula>"保留"</x:formula>
    </x:cfRule>
  </x:conditionalFormatting>
  <x:dataValidations count="1">
    <x:dataValidation type="list" sqref="F8:F17">
      <x:formula1>"未着手,進行中,完了,保留"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ebc3cf90284819"/>
  </x:tableParts>
</x:worksheet>
</file>

<file path=xl/worksheets/sheet3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23.75" hidden="0" customWidth="1"/>
    <x:col min="3" max="3" width="10.630000114440918" hidden="0" customWidth="1"/>
    <x:col min="4" max="4" width="15" hidden="0" customWidth="1"/>
    <x:col min="5" max="5" width="10.5" hidden="0" customWidth="1"/>
    <x:col min="6" max="6" width="10.5" hidden="0" customWidth="1"/>
    <x:col min="7" max="7" width="12.5" hidden="0" customWidth="1"/>
    <x:col min="8" max="8" width="26.2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  <x:c r="H1" s="4"/>
    </x:row>
    <x:row r="2" ht="31" customHeight="1">
      <x:c r="A2" s="5" t="str">
        <x:v>商品マスタ</x:v>
      </x:c>
      <x:c r="B2" s="4"/>
      <x:c r="C2" s="4"/>
      <x:c r="D2" s="4"/>
      <x:c r="E2" s="4"/>
      <x:c r="F2" s="4"/>
      <x:c r="G2" s="4"/>
      <x:c r="H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  <x:c r="H3" s="7"/>
    </x:row>
    <x:row r="4" ht="25" customHeight="1">
      <x:c r="A4" s="4"/>
      <x:c r="B4" s="4"/>
      <x:c r="C4" s="4"/>
      <x:c r="D4" s="4"/>
      <x:c r="E4" s="4"/>
      <x:c r="F4" s="4"/>
      <x:c r="G4" s="4"/>
      <x:c r="H4" s="4"/>
    </x:row>
    <x:row r="5" ht="25" customHeight="1">
      <x:c r="A5" s="4" t="str">
        <x:v>標準価格は税抜。在庫数・発注点の単位は個。</x:v>
      </x:c>
      <x:c r="B5" s="4"/>
      <x:c r="C5" s="4"/>
      <x:c r="D5" s="4"/>
      <x:c r="E5" s="4"/>
      <x:c r="F5" s="4"/>
      <x:c r="G5" s="4"/>
      <x:c r="H5" s="4"/>
    </x:row>
    <x:row r="6" ht="25" customHeight="1">
      <x:c r="A6" s="4"/>
      <x:c r="B6" s="4"/>
      <x:c r="C6" s="4"/>
      <x:c r="D6" s="4"/>
      <x:c r="E6" s="4"/>
      <x:c r="F6" s="4"/>
      <x:c r="G6" s="4"/>
      <x:c r="H6" s="4"/>
    </x:row>
    <x:row r="7" ht="29" customHeight="1">
      <x:c r="A7" s="14" t="str">
        <x:v>商品コード</x:v>
      </x:c>
      <x:c r="B7" s="15" t="str">
        <x:v>商品名</x:v>
      </x:c>
      <x:c r="C7" s="15" t="str">
        <x:v>分類</x:v>
      </x:c>
      <x:c r="D7" s="15" t="str">
        <x:v>標準価格（円）</x:v>
      </x:c>
      <x:c r="E7" s="15" t="str">
        <x:v>在庫数</x:v>
      </x:c>
      <x:c r="F7" s="15" t="str">
        <x:v>発注点</x:v>
      </x:c>
      <x:c r="G7" s="15" t="str">
        <x:v>販売状況</x:v>
      </x:c>
      <x:c r="H7" s="16" t="str">
        <x:v>仕様・メモ</x:v>
      </x:c>
    </x:row>
    <x:row r="8" ht="25" customHeight="1">
      <x:c r="A8" s="8" t="str">
        <x:v>P-001</x:v>
      </x:c>
      <x:c r="B8" s="8" t="str">
        <x:v>木製デスクトレー</x:v>
      </x:c>
      <x:c r="C8" s="8" t="str">
        <x:v>収納</x:v>
      </x:c>
      <x:c r="D8" s="22" t="n">
        <x:v>2800</x:v>
      </x:c>
      <x:c r="E8" s="22" t="n">
        <x:v>58</x:v>
      </x:c>
      <x:c r="F8" s="22" t="n">
        <x:v>20</x:v>
      </x:c>
      <x:c r="G8" s="8" t="str">
        <x:v>販売中</x:v>
      </x:c>
      <x:c r="H8" s="8" t="str">
        <x:v>国産杉・ナチュラル</x:v>
      </x:c>
    </x:row>
    <x:row r="9" ht="25" customHeight="1">
      <x:c r="A9" s="4" t="str">
        <x:v>P-002</x:v>
      </x:c>
      <x:c r="B9" s="4" t="str">
        <x:v>リネンノート A5</x:v>
      </x:c>
      <x:c r="C9" s="4" t="str">
        <x:v>文具</x:v>
      </x:c>
      <x:c r="D9" s="23" t="n">
        <x:v>1200</x:v>
      </x:c>
      <x:c r="E9" s="23" t="n">
        <x:v>140</x:v>
      </x:c>
      <x:c r="F9" s="23" t="n">
        <x:v>50</x:v>
      </x:c>
      <x:c r="G9" s="4" t="str">
        <x:v>販売中</x:v>
      </x:c>
      <x:c r="H9" s="4" t="str">
        <x:v>方眼・80ページ</x:v>
      </x:c>
    </x:row>
    <x:row r="10" ht="25" customHeight="1">
      <x:c r="A10" s="8" t="str">
        <x:v>P-003</x:v>
      </x:c>
      <x:c r="B10" s="8" t="str">
        <x:v>真鍮ペンスタンド</x:v>
      </x:c>
      <x:c r="C10" s="8" t="str">
        <x:v>収納</x:v>
      </x:c>
      <x:c r="D10" s="22" t="n">
        <x:v>3800</x:v>
      </x:c>
      <x:c r="E10" s="22" t="n">
        <x:v>36</x:v>
      </x:c>
      <x:c r="F10" s="22" t="n">
        <x:v>15</x:v>
      </x:c>
      <x:c r="G10" s="8" t="str">
        <x:v>販売中</x:v>
      </x:c>
      <x:c r="H10" s="8" t="str">
        <x:v>磨き仕上げ</x:v>
      </x:c>
    </x:row>
    <x:row r="11" ht="25" customHeight="1">
      <x:c r="A11" s="4" t="str">
        <x:v>P-004</x:v>
      </x:c>
      <x:c r="B11" s="4" t="str">
        <x:v>帆布トート S</x:v>
      </x:c>
      <x:c r="C11" s="4" t="str">
        <x:v>雑貨</x:v>
      </x:c>
      <x:c r="D11" s="23" t="n">
        <x:v>2400</x:v>
      </x:c>
      <x:c r="E11" s="23" t="n">
        <x:v>92</x:v>
      </x:c>
      <x:c r="F11" s="23" t="n">
        <x:v>30</x:v>
      </x:c>
      <x:c r="G11" s="4" t="str">
        <x:v>販売中</x:v>
      </x:c>
      <x:c r="H11" s="4" t="str">
        <x:v>生成り</x:v>
      </x:c>
    </x:row>
    <x:row r="12" ht="25" customHeight="1">
      <x:c r="A12" s="8" t="str">
        <x:v>P-005</x:v>
      </x:c>
      <x:c r="B12" s="8" t="str">
        <x:v>再生紙メモパッド</x:v>
      </x:c>
      <x:c r="C12" s="8" t="str">
        <x:v>文具</x:v>
      </x:c>
      <x:c r="D12" s="22" t="n">
        <x:v>650</x:v>
      </x:c>
      <x:c r="E12" s="22" t="n">
        <x:v>210</x:v>
      </x:c>
      <x:c r="F12" s="22" t="n">
        <x:v>80</x:v>
      </x:c>
      <x:c r="G12" s="8" t="str">
        <x:v>販売中</x:v>
      </x:c>
      <x:c r="H12" s="8" t="str">
        <x:v>100枚・無地</x:v>
      </x:c>
    </x:row>
    <x:row r="13" ht="25" customHeight="1">
      <x:c r="A13" s="4" t="str">
        <x:v>P-006</x:v>
      </x:c>
      <x:c r="B13" s="4" t="str">
        <x:v>陶器マグ 280ml</x:v>
      </x:c>
      <x:c r="C13" s="4" t="str">
        <x:v>食器</x:v>
      </x:c>
      <x:c r="D13" s="23" t="n">
        <x:v>1800</x:v>
      </x:c>
      <x:c r="E13" s="23" t="n">
        <x:v>74</x:v>
      </x:c>
      <x:c r="F13" s="23" t="n">
        <x:v>25</x:v>
      </x:c>
      <x:c r="G13" s="4" t="str">
        <x:v>販売中</x:v>
      </x:c>
      <x:c r="H13" s="4" t="str">
        <x:v>深緑</x:v>
      </x:c>
    </x:row>
    <x:row r="14" ht="25" customHeight="1">
      <x:c r="A14" s="8" t="str">
        <x:v>P-007</x:v>
      </x:c>
      <x:c r="B14" s="8" t="str">
        <x:v>竹製コースター</x:v>
      </x:c>
      <x:c r="C14" s="8" t="str">
        <x:v>食器</x:v>
      </x:c>
      <x:c r="D14" s="22" t="n">
        <x:v>900</x:v>
      </x:c>
      <x:c r="E14" s="22" t="n">
        <x:v>68</x:v>
      </x:c>
      <x:c r="F14" s="22" t="n">
        <x:v>20</x:v>
      </x:c>
      <x:c r="G14" s="8" t="str">
        <x:v>販売中</x:v>
      </x:c>
      <x:c r="H14" s="8" t="str">
        <x:v>丸型・2枚組</x:v>
      </x:c>
    </x:row>
    <x:row r="15" ht="25" customHeight="1">
      <x:c r="A15" s="4" t="str">
        <x:v>P-008</x:v>
      </x:c>
      <x:c r="B15" s="4" t="str">
        <x:v>コルクボード A4</x:v>
      </x:c>
      <x:c r="C15" s="4" t="str">
        <x:v>収納</x:v>
      </x:c>
      <x:c r="D15" s="23" t="n">
        <x:v>2200</x:v>
      </x:c>
      <x:c r="E15" s="23" t="n">
        <x:v>31</x:v>
      </x:c>
      <x:c r="F15" s="23" t="n">
        <x:v>10</x:v>
      </x:c>
      <x:c r="G15" s="4" t="str">
        <x:v>販売中</x:v>
      </x:c>
      <x:c r="H15" s="4" t="str">
        <x:v>壁掛け金具付</x:v>
      </x:c>
    </x:row>
    <x:row r="16" ht="25" customHeight="1">
      <x:c r="A16" s="8" t="str">
        <x:v>P-009</x:v>
      </x:c>
      <x:c r="B16" s="8" t="str">
        <x:v>ガラス花器 ミニ</x:v>
      </x:c>
      <x:c r="C16" s="8" t="str">
        <x:v>雑貨</x:v>
      </x:c>
      <x:c r="D16" s="22" t="n">
        <x:v>1500</x:v>
      </x:c>
      <x:c r="E16" s="22" t="n">
        <x:v>0</x:v>
      </x:c>
      <x:c r="F16" s="22" t="n">
        <x:v>12</x:v>
      </x:c>
      <x:c r="G16" s="8" t="str">
        <x:v>販売終了</x:v>
      </x:c>
      <x:c r="H16" s="8" t="str">
        <x:v>透明</x:v>
      </x:c>
    </x:row>
    <x:row r="17" ht="25" customHeight="1">
      <x:c r="A17" s="4" t="str">
        <x:v>P-010</x:v>
      </x:c>
      <x:c r="B17" s="4" t="str">
        <x:v>月間プランナー</x:v>
      </x:c>
      <x:c r="C17" s="4" t="str">
        <x:v>文具</x:v>
      </x:c>
      <x:c r="D17" s="23" t="n">
        <x:v>1100</x:v>
      </x:c>
      <x:c r="E17" s="23" t="n">
        <x:v>65</x:v>
      </x:c>
      <x:c r="F17" s="23" t="n">
        <x:v>25</x:v>
      </x:c>
      <x:c r="G17" s="4" t="str">
        <x:v>販売中</x:v>
      </x:c>
      <x:c r="H17" s="4" t="str">
        <x:v>10月版を先行受付</x:v>
      </x:c>
    </x:row>
  </x:sheetData>
  <x:conditionalFormatting sqref="G8:G17">
    <x:cfRule type="cellIs" dxfId="2" priority="1" operator="equal">
      <x:formula>"販売中"</x:formula>
    </x:cfRule>
    <x:cfRule type="cellIs" dxfId="3" priority="2" operator="equal">
      <x:formula>"取寄"</x:formula>
    </x:cfRule>
  </x:conditionalFormatting>
  <x:conditionalFormatting sqref="E8:E17">
    <x:cfRule type="expression" dxfId="4" priority="3">
      <x:formula>E8&lt;F8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6f3dcfae3d401f"/>
  </x:tableParts>
</x:worksheet>
</file>

<file path=xl/worksheets/sheet4.xml><?xml version="1.0" encoding="utf-8"?>
<x:worksheet xmlns:x="http://schemas.openxmlformats.org/spreadsheetml/2006/main">
  <x:sheetPr>
    <x:tabColor rgb="FF20345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.75" hidden="0" customWidth="1"/>
    <x:col min="2" max="2" width="26.25" hidden="0" customWidth="1"/>
    <x:col min="3" max="3" width="10.5" hidden="0" customWidth="1"/>
    <x:col min="4" max="4" width="14" hidden="0" customWidth="1"/>
    <x:col min="5" max="5" width="11.25" hidden="0" customWidth="1"/>
    <x:col min="6" max="6" width="16.8799991607666" hidden="0" customWidth="1"/>
    <x:col min="7" max="7" width="26.25" hidden="0" customWidth="1"/>
  </x:cols>
  <x:sheetData>
    <x:row r="1" ht="14" customHeight="1">
      <x:c r="A1" s="4"/>
      <x:c r="B1" s="4"/>
      <x:c r="C1" s="4"/>
      <x:c r="D1" s="4"/>
      <x:c r="E1" s="4"/>
      <x:c r="F1" s="4"/>
      <x:c r="G1" s="4"/>
    </x:row>
    <x:row r="2" ht="31" customHeight="1">
      <x:c r="A2" s="5" t="str">
        <x:v>2026年10月 新規企画</x:v>
      </x:c>
      <x:c r="B2" s="4"/>
      <x:c r="C2" s="4"/>
      <x:c r="D2" s="4"/>
      <x:c r="E2" s="4"/>
      <x:c r="F2" s="4"/>
      <x:c r="G2" s="4"/>
    </x:row>
    <x:row r="3" ht="25" customHeight="1">
      <x:c r="A3" s="7" t="str">
        <x:v>動作確認用の架空データ（実在の企業・人物とは無関係）</x:v>
      </x:c>
      <x:c r="B3" s="7"/>
      <x:c r="C3" s="7"/>
      <x:c r="D3" s="7"/>
      <x:c r="E3" s="7"/>
      <x:c r="F3" s="7"/>
      <x:c r="G3" s="7"/>
    </x:row>
    <x:row r="4" ht="25" customHeight="1">
      <x:c r="A4" s="4"/>
      <x:c r="B4" s="4"/>
      <x:c r="C4" s="4"/>
      <x:c r="D4" s="4"/>
      <x:c r="E4" s="4"/>
      <x:c r="F4" s="4"/>
      <x:c r="G4" s="4"/>
    </x:row>
    <x:row r="5" ht="25" customHeight="1">
      <x:c r="A5" s="4" t="str">
        <x:v>比較後のブックで、このシートを追加。</x:v>
      </x:c>
      <x:c r="B5" s="4"/>
      <x:c r="C5" s="4"/>
      <x:c r="D5" s="4"/>
      <x:c r="E5" s="4"/>
      <x:c r="F5" s="4"/>
      <x:c r="G5" s="4"/>
    </x:row>
    <x:row r="6" ht="25" customHeight="1">
      <x:c r="A6" s="4"/>
      <x:c r="B6" s="4"/>
      <x:c r="C6" s="4"/>
      <x:c r="D6" s="4"/>
      <x:c r="E6" s="4"/>
      <x:c r="F6" s="4"/>
      <x:c r="G6" s="4"/>
    </x:row>
    <x:row r="7" ht="29" customHeight="1">
      <x:c r="A7" s="14" t="str">
        <x:v>企画ID</x:v>
      </x:c>
      <x:c r="B7" s="15" t="str">
        <x:v>企画名</x:v>
      </x:c>
      <x:c r="C7" s="15" t="str">
        <x:v>担当</x:v>
      </x:c>
      <x:c r="D7" s="15" t="str">
        <x:v>検討期限</x:v>
      </x:c>
      <x:c r="E7" s="15" t="str">
        <x:v>状態</x:v>
      </x:c>
      <x:c r="F7" s="15" t="str">
        <x:v>予算案（円）</x:v>
      </x:c>
      <x:c r="G7" s="16" t="str">
        <x:v>次の対応</x:v>
      </x:c>
    </x:row>
    <x:row r="8" ht="25" customHeight="1">
      <x:c r="A8" s="8" t="str">
        <x:v>NP-001</x:v>
      </x:c>
      <x:c r="B8" s="8" t="str">
        <x:v>冬のギフトセット</x:v>
      </x:c>
      <x:c r="C8" s="8" t="str">
        <x:v>青木</x:v>
      </x:c>
      <x:c r="D8" s="26" t="n">
        <x:v>46300</x:v>
      </x:c>
      <x:c r="E8" s="8" t="str">
        <x:v>企画中</x:v>
      </x:c>
      <x:c r="F8" s="22" t="n">
        <x:v>180000</x:v>
      </x:c>
      <x:c r="G8" s="8" t="str">
        <x:v>マグとノートのセット</x:v>
      </x:c>
    </x:row>
    <x:row r="9" ht="25" customHeight="1">
      <x:c r="A9" s="4" t="str">
        <x:v>NP-002</x:v>
      </x:c>
      <x:c r="B9" s="4" t="str">
        <x:v>法人向け名入れ</x:v>
      </x:c>
      <x:c r="C9" s="4" t="str">
        <x:v>佐野</x:v>
      </x:c>
      <x:c r="D9" s="27" t="n">
        <x:v>46307</x:v>
      </x:c>
      <x:c r="E9" s="4" t="str">
        <x:v>調査中</x:v>
      </x:c>
      <x:c r="F9" s="23" t="n">
        <x:v>90000</x:v>
      </x:c>
      <x:c r="G9" s="4" t="str">
        <x:v>最小発注数を確認</x:v>
      </x:c>
    </x:row>
    <x:row r="10" ht="25" customHeight="1">
      <x:c r="A10" s="8" t="str">
        <x:v>NP-003</x:v>
      </x:c>
      <x:c r="B10" s="8" t="str">
        <x:v>小型収納シリーズ</x:v>
      </x:c>
      <x:c r="C10" s="8" t="str">
        <x:v>大野</x:v>
      </x:c>
      <x:c r="D10" s="26" t="n">
        <x:v>46314</x:v>
      </x:c>
      <x:c r="E10" s="8" t="str">
        <x:v>企画中</x:v>
      </x:c>
      <x:c r="F10" s="22" t="n">
        <x:v>240000</x:v>
      </x:c>
      <x:c r="G10" s="8" t="str">
        <x:v>机上サイズを検討</x:v>
      </x:c>
    </x:row>
    <x:row r="11" ht="25" customHeight="1">
      <x:c r="A11" s="4" t="str">
        <x:v>NP-004</x:v>
      </x:c>
      <x:c r="B11" s="4" t="str">
        <x:v>店舗向け展示台</x:v>
      </x:c>
      <x:c r="C11" s="4" t="str">
        <x:v>井上</x:v>
      </x:c>
      <x:c r="D11" s="27" t="n">
        <x:v>46321</x:v>
      </x:c>
      <x:c r="E11" s="4" t="str">
        <x:v>見積中</x:v>
      </x:c>
      <x:c r="F11" s="23" t="n">
        <x:v>150000</x:v>
      </x:c>
      <x:c r="G11" s="4" t="str">
        <x:v>折り畳み式を検討</x:v>
      </x:c>
    </x:row>
    <x:row r="12" ht="25" customHeight="1">
      <x:c r="A12" s="8" t="str">
        <x:v>NP-005</x:v>
      </x:c>
      <x:c r="B12" s="8" t="str">
        <x:v>再生紙パッケージ</x:v>
      </x:c>
      <x:c r="C12" s="8" t="str">
        <x:v>青木</x:v>
      </x:c>
      <x:c r="D12" s="26" t="n">
        <x:v>46328</x:v>
      </x:c>
      <x:c r="E12" s="8" t="str">
        <x:v>調査中</x:v>
      </x:c>
      <x:c r="F12" s="22" t="n">
        <x:v>110000</x:v>
      </x:c>
      <x:c r="G12" s="8" t="str">
        <x:v>紙質サンプルを依頼</x:v>
      </x:c>
    </x:row>
  </x:sheetData>
  <x:conditionalFormatting sqref="E8:E12">
    <x:cfRule type="cellIs" dxfId="7" priority="1" operator="equal">
      <x:formula>"企画中"</x:formula>
    </x:cfRule>
    <x:cfRule type="cellIs" dxfId="8" priority="2" operator="equal">
      <x:formula>"見積中"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ae52614b954942"/>
  </x:tableParts>
</x:worksheet>
</file>